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Engagements" sheetId="2" state="visible" r:id="rId2"/>
    <sheet xmlns:r="http://schemas.openxmlformats.org/officeDocument/2006/relationships" name="Targets_2p" sheetId="3" state="visible" r:id="rId3"/>
    <sheet xmlns:r="http://schemas.openxmlformats.org/officeDocument/2006/relationships" name="Gri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VAT</t>
        </is>
      </c>
      <c r="B1" s="1" t="n">
        <v>0.18</v>
      </c>
    </row>
    <row r="2">
      <c r="A2" t="inlineStr">
        <is>
          <t>Key price gross</t>
        </is>
      </c>
      <c r="B2" s="1" t="n">
        <v>450</v>
      </c>
    </row>
    <row r="3">
      <c r="A3" t="inlineStr">
        <is>
          <t>Router gross</t>
        </is>
      </c>
      <c r="B3" s="1" t="n">
        <v>700</v>
      </c>
    </row>
    <row r="4">
      <c r="A4" t="inlineStr">
        <is>
          <t>Capacity h/month</t>
        </is>
      </c>
      <c r="B4" s="1" t="n">
        <v>80</v>
      </c>
    </row>
    <row r="5">
      <c r="A5" t="inlineStr">
        <is>
          <t>Travel h/visit</t>
        </is>
      </c>
      <c r="B5" s="1" t="n">
        <v>2</v>
      </c>
    </row>
    <row r="6">
      <c r="A6" t="inlineStr">
        <is>
          <t>Buffer on hands-on</t>
        </is>
      </c>
      <c r="B6" s="1" t="n">
        <v>0.2</v>
      </c>
    </row>
    <row r="7">
      <c r="A7" t="inlineStr">
        <is>
          <t>Assessment h</t>
        </is>
      </c>
      <c r="B7" s="1" t="n">
        <v>6</v>
      </c>
    </row>
    <row r="8">
      <c r="A8" t="inlineStr">
        <is>
          <t>Shield h</t>
        </is>
      </c>
      <c r="B8" s="1" t="n">
        <v>16</v>
      </c>
    </row>
    <row r="9">
      <c r="A9" t="inlineStr">
        <is>
          <t>Extra person h</t>
        </is>
      </c>
      <c r="B9" s="1" t="n">
        <v>10</v>
      </c>
    </row>
    <row r="10">
      <c r="A10" t="inlineStr">
        <is>
          <t>Inner Circle h</t>
        </is>
      </c>
      <c r="B10" s="1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Hands-on h</t>
        </is>
      </c>
      <c r="C1" t="inlineStr">
        <is>
          <t>Visits</t>
        </is>
      </c>
      <c r="D1" t="inlineStr">
        <is>
          <t>Keys</t>
        </is>
      </c>
      <c r="E1" t="inlineStr">
        <is>
          <t>Router gross</t>
        </is>
      </c>
      <c r="F1" t="inlineStr">
        <is>
          <t>Hardware net</t>
        </is>
      </c>
      <c r="G1" t="inlineStr">
        <is>
          <t>Hours base</t>
        </is>
      </c>
      <c r="H1" t="inlineStr">
        <is>
          <t>Hours buffered</t>
        </is>
      </c>
    </row>
    <row r="2">
      <c r="A2" t="inlineStr">
        <is>
          <t>1 person</t>
        </is>
      </c>
      <c r="B2">
        <f>Inputs!B7+Inputs!B8</f>
        <v/>
      </c>
      <c r="C2" t="n">
        <v>3</v>
      </c>
      <c r="D2" t="n">
        <v>2</v>
      </c>
      <c r="E2" t="n">
        <v>0</v>
      </c>
      <c r="F2">
        <f>(D2*Inputs!$B$2+E2)/(1+Inputs!$B$1)</f>
        <v/>
      </c>
      <c r="G2">
        <f>B2+C2*Inputs!$B$5</f>
        <v/>
      </c>
      <c r="H2">
        <f>B2*(1+Inputs!$B$6)+C2*Inputs!$B$5</f>
        <v/>
      </c>
    </row>
    <row r="3">
      <c r="A3" t="inlineStr">
        <is>
          <t>2 people</t>
        </is>
      </c>
      <c r="B3">
        <f>Inputs!B7+Inputs!B8+Inputs!B9</f>
        <v/>
      </c>
      <c r="C3" t="n">
        <v>4</v>
      </c>
      <c r="D3" t="n">
        <v>4</v>
      </c>
      <c r="E3" t="n">
        <v>0</v>
      </c>
      <c r="F3">
        <f>(D3*Inputs!$B$2+E3)/(1+Inputs!$B$1)</f>
        <v/>
      </c>
      <c r="G3">
        <f>B3+C3*Inputs!$B$5</f>
        <v/>
      </c>
      <c r="H3">
        <f>B3*(1+Inputs!$B$6)+C3*Inputs!$B$5</f>
        <v/>
      </c>
    </row>
    <row r="4">
      <c r="A4" t="inlineStr">
        <is>
          <t>4 people (Inner Circle)</t>
        </is>
      </c>
      <c r="B4">
        <f>Inputs!B7+Inputs!B10</f>
        <v/>
      </c>
      <c r="C4" t="n">
        <v>5</v>
      </c>
      <c r="D4" t="n">
        <v>8</v>
      </c>
      <c r="E4">
        <f>Inputs!B3</f>
        <v/>
      </c>
      <c r="F4">
        <f>(D4*Inputs!$B$2+E4)/(1+Inputs!$B$1)</f>
        <v/>
      </c>
      <c r="G4">
        <f>B4+C4*Inputs!$B$5</f>
        <v/>
      </c>
      <c r="H4">
        <f>B4*(1+Inputs!$B$6)+C4*Inputs!$B$5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 net target</t>
        </is>
      </c>
      <c r="B1" t="inlineStr">
        <is>
          <t>Eng/month</t>
        </is>
      </c>
      <c r="C1" t="inlineStr">
        <is>
          <t>Net per engagement</t>
        </is>
      </c>
      <c r="D1" t="inlineStr">
        <is>
          <t>Gross price incl VAT</t>
        </is>
      </c>
      <c r="E1" t="inlineStr">
        <is>
          <t>Net/h base</t>
        </is>
      </c>
      <c r="F1" t="inlineStr">
        <is>
          <t>Net/h buffered</t>
        </is>
      </c>
      <c r="G1" t="inlineStr">
        <is>
          <t>Utilisation</t>
        </is>
      </c>
      <c r="H1" t="inlineStr">
        <is>
          <t>Spare h per engagement</t>
        </is>
      </c>
    </row>
    <row r="2">
      <c r="A2" t="n">
        <v>40000</v>
      </c>
      <c r="B2" t="n">
        <v>1</v>
      </c>
      <c r="C2">
        <f>A2/B2</f>
        <v/>
      </c>
      <c r="D2">
        <f>(C2+Engagements!$F$3)*(1+Inputs!$B$1)</f>
        <v/>
      </c>
      <c r="E2">
        <f>C2/Engagements!$G$3</f>
        <v/>
      </c>
      <c r="F2">
        <f>C2/Engagements!$H$3</f>
        <v/>
      </c>
      <c r="G2">
        <f>B2*Engagements!$G$3/Inputs!$B$4</f>
        <v/>
      </c>
      <c r="H2">
        <f>Inputs!$B$4/B2-Engagements!$G$3</f>
        <v/>
      </c>
    </row>
    <row r="3">
      <c r="A3" t="n">
        <v>40000</v>
      </c>
      <c r="B3" t="n">
        <v>1.5</v>
      </c>
      <c r="C3">
        <f>A3/B3</f>
        <v/>
      </c>
      <c r="D3">
        <f>(C3+Engagements!$F$3)*(1+Inputs!$B$1)</f>
        <v/>
      </c>
      <c r="E3">
        <f>C3/Engagements!$G$3</f>
        <v/>
      </c>
      <c r="F3">
        <f>C3/Engagements!$H$3</f>
        <v/>
      </c>
      <c r="G3">
        <f>B3*Engagements!$G$3/Inputs!$B$4</f>
        <v/>
      </c>
      <c r="H3">
        <f>Inputs!$B$4/B3-Engagements!$G$3</f>
        <v/>
      </c>
    </row>
    <row r="4">
      <c r="A4" t="n">
        <v>40000</v>
      </c>
      <c r="B4" t="n">
        <v>2</v>
      </c>
      <c r="C4">
        <f>A4/B4</f>
        <v/>
      </c>
      <c r="D4">
        <f>(C4+Engagements!$F$3)*(1+Inputs!$B$1)</f>
        <v/>
      </c>
      <c r="E4">
        <f>C4/Engagements!$G$3</f>
        <v/>
      </c>
      <c r="F4">
        <f>C4/Engagements!$H$3</f>
        <v/>
      </c>
      <c r="G4">
        <f>B4*Engagements!$G$3/Inputs!$B$4</f>
        <v/>
      </c>
      <c r="H4">
        <f>Inputs!$B$4/B4-Engagements!$G$3</f>
        <v/>
      </c>
    </row>
    <row r="5">
      <c r="A5" t="n">
        <v>60000</v>
      </c>
      <c r="B5" t="n">
        <v>1</v>
      </c>
      <c r="C5">
        <f>A5/B5</f>
        <v/>
      </c>
      <c r="D5">
        <f>(C5+Engagements!$F$3)*(1+Inputs!$B$1)</f>
        <v/>
      </c>
      <c r="E5">
        <f>C5/Engagements!$G$3</f>
        <v/>
      </c>
      <c r="F5">
        <f>C5/Engagements!$H$3</f>
        <v/>
      </c>
      <c r="G5">
        <f>B5*Engagements!$G$3/Inputs!$B$4</f>
        <v/>
      </c>
      <c r="H5">
        <f>Inputs!$B$4/B5-Engagements!$G$3</f>
        <v/>
      </c>
    </row>
    <row r="6">
      <c r="A6" t="n">
        <v>60000</v>
      </c>
      <c r="B6" t="n">
        <v>1.5</v>
      </c>
      <c r="C6">
        <f>A6/B6</f>
        <v/>
      </c>
      <c r="D6">
        <f>(C6+Engagements!$F$3)*(1+Inputs!$B$1)</f>
        <v/>
      </c>
      <c r="E6">
        <f>C6/Engagements!$G$3</f>
        <v/>
      </c>
      <c r="F6">
        <f>C6/Engagements!$H$3</f>
        <v/>
      </c>
      <c r="G6">
        <f>B6*Engagements!$G$3/Inputs!$B$4</f>
        <v/>
      </c>
      <c r="H6">
        <f>Inputs!$B$4/B6-Engagements!$G$3</f>
        <v/>
      </c>
    </row>
    <row r="7">
      <c r="A7" t="n">
        <v>60000</v>
      </c>
      <c r="B7" t="n">
        <v>2</v>
      </c>
      <c r="C7">
        <f>A7/B7</f>
        <v/>
      </c>
      <c r="D7">
        <f>(C7+Engagements!$F$3)*(1+Inputs!$B$1)</f>
        <v/>
      </c>
      <c r="E7">
        <f>C7/Engagements!$G$3</f>
        <v/>
      </c>
      <c r="F7">
        <f>C7/Engagements!$H$3</f>
        <v/>
      </c>
      <c r="G7">
        <f>B7*Engagements!$G$3/Inputs!$B$4</f>
        <v/>
      </c>
      <c r="H7">
        <f>Inputs!$B$4/B7-Engagements!$G$3</f>
        <v/>
      </c>
    </row>
    <row r="8">
      <c r="A8" t="n">
        <v>80000</v>
      </c>
      <c r="B8" t="n">
        <v>1</v>
      </c>
      <c r="C8">
        <f>A8/B8</f>
        <v/>
      </c>
      <c r="D8">
        <f>(C8+Engagements!$F$3)*(1+Inputs!$B$1)</f>
        <v/>
      </c>
      <c r="E8">
        <f>C8/Engagements!$G$3</f>
        <v/>
      </c>
      <c r="F8">
        <f>C8/Engagements!$H$3</f>
        <v/>
      </c>
      <c r="G8">
        <f>B8*Engagements!$G$3/Inputs!$B$4</f>
        <v/>
      </c>
      <c r="H8">
        <f>Inputs!$B$4/B8-Engagements!$G$3</f>
        <v/>
      </c>
    </row>
    <row r="9">
      <c r="A9" t="n">
        <v>80000</v>
      </c>
      <c r="B9" t="n">
        <v>1.5</v>
      </c>
      <c r="C9">
        <f>A9/B9</f>
        <v/>
      </c>
      <c r="D9">
        <f>(C9+Engagements!$F$3)*(1+Inputs!$B$1)</f>
        <v/>
      </c>
      <c r="E9">
        <f>C9/Engagements!$G$3</f>
        <v/>
      </c>
      <c r="F9">
        <f>C9/Engagements!$H$3</f>
        <v/>
      </c>
      <c r="G9">
        <f>B9*Engagements!$G$3/Inputs!$B$4</f>
        <v/>
      </c>
      <c r="H9">
        <f>Inputs!$B$4/B9-Engagements!$G$3</f>
        <v/>
      </c>
    </row>
    <row r="10">
      <c r="A10" t="n">
        <v>80000</v>
      </c>
      <c r="B10" t="n">
        <v>2</v>
      </c>
      <c r="C10">
        <f>A10/B10</f>
        <v/>
      </c>
      <c r="D10">
        <f>(C10+Engagements!$F$3)*(1+Inputs!$B$1)</f>
        <v/>
      </c>
      <c r="E10">
        <f>C10/Engagements!$G$3</f>
        <v/>
      </c>
      <c r="F10">
        <f>C10/Engagements!$H$3</f>
        <v/>
      </c>
      <c r="G10">
        <f>B10*Engagements!$G$3/Inputs!$B$4</f>
        <v/>
      </c>
      <c r="H10">
        <f>Inputs!$B$4/B10-Engagements!$G$3</f>
        <v/>
      </c>
    </row>
    <row r="11">
      <c r="A11" t="n">
        <v>100000</v>
      </c>
      <c r="B11" t="n">
        <v>1</v>
      </c>
      <c r="C11">
        <f>A11/B11</f>
        <v/>
      </c>
      <c r="D11">
        <f>(C11+Engagements!$F$3)*(1+Inputs!$B$1)</f>
        <v/>
      </c>
      <c r="E11">
        <f>C11/Engagements!$G$3</f>
        <v/>
      </c>
      <c r="F11">
        <f>C11/Engagements!$H$3</f>
        <v/>
      </c>
      <c r="G11">
        <f>B11*Engagements!$G$3/Inputs!$B$4</f>
        <v/>
      </c>
      <c r="H11">
        <f>Inputs!$B$4/B11-Engagements!$G$3</f>
        <v/>
      </c>
    </row>
    <row r="12">
      <c r="A12" t="n">
        <v>100000</v>
      </c>
      <c r="B12" t="n">
        <v>1.5</v>
      </c>
      <c r="C12">
        <f>A12/B12</f>
        <v/>
      </c>
      <c r="D12">
        <f>(C12+Engagements!$F$3)*(1+Inputs!$B$1)</f>
        <v/>
      </c>
      <c r="E12">
        <f>C12/Engagements!$G$3</f>
        <v/>
      </c>
      <c r="F12">
        <f>C12/Engagements!$H$3</f>
        <v/>
      </c>
      <c r="G12">
        <f>B12*Engagements!$G$3/Inputs!$B$4</f>
        <v/>
      </c>
      <c r="H12">
        <f>Inputs!$B$4/B12-Engagements!$G$3</f>
        <v/>
      </c>
    </row>
    <row r="13">
      <c r="A13" t="n">
        <v>100000</v>
      </c>
      <c r="B13" t="n">
        <v>2</v>
      </c>
      <c r="C13">
        <f>A13/B13</f>
        <v/>
      </c>
      <c r="D13">
        <f>(C13+Engagements!$F$3)*(1+Inputs!$B$1)</f>
        <v/>
      </c>
      <c r="E13">
        <f>C13/Engagements!$G$3</f>
        <v/>
      </c>
      <c r="F13">
        <f>C13/Engagements!$H$3</f>
        <v/>
      </c>
      <c r="G13">
        <f>B13*Engagements!$G$3/Inputs!$B$4</f>
        <v/>
      </c>
      <c r="H13">
        <f>Inputs!$B$4/B13-Engagements!$G$3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Grid</t>
        </is>
      </c>
      <c r="B1" t="inlineStr">
        <is>
          <t>Item</t>
        </is>
      </c>
      <c r="C1" t="inlineStr">
        <is>
          <t>Gross price</t>
        </is>
      </c>
      <c r="D1" t="inlineStr">
        <is>
          <t>Net after hardware</t>
        </is>
      </c>
      <c r="E1" t="inlineStr">
        <is>
          <t>Hours</t>
        </is>
      </c>
      <c r="F1" t="inlineStr">
        <is>
          <t>Net/h</t>
        </is>
      </c>
      <c r="G1" t="inlineStr">
        <is>
          <t>Net/h buffered</t>
        </is>
      </c>
      <c r="H1" t="inlineStr">
        <is>
          <t>Monthly net x1</t>
        </is>
      </c>
      <c r="I1" t="inlineStr">
        <is>
          <t>Monthly net x2</t>
        </is>
      </c>
    </row>
    <row r="2">
      <c r="A2" t="inlineStr">
        <is>
          <t>Conservative</t>
        </is>
      </c>
      <c r="B2" t="inlineStr">
        <is>
          <t>Assessment</t>
        </is>
      </c>
      <c r="C2" t="n">
        <v>3600</v>
      </c>
      <c r="D2">
        <f>C2/(1+Inputs!$B$1)-(0)</f>
        <v/>
      </c>
      <c r="E2">
        <f>Inputs!B7+Inputs!B5</f>
        <v/>
      </c>
      <c r="F2">
        <f>D2/E2</f>
        <v/>
      </c>
      <c r="G2">
        <f>D2/(E2)</f>
        <v/>
      </c>
      <c r="H2">
        <f>D2</f>
        <v/>
      </c>
      <c r="I2">
        <f>2*D2</f>
        <v/>
      </c>
    </row>
    <row r="3">
      <c r="A3" t="inlineStr">
        <is>
          <t>Conservative</t>
        </is>
      </c>
      <c r="B3" t="inlineStr">
        <is>
          <t>1 person</t>
        </is>
      </c>
      <c r="C3" t="n">
        <v>16000</v>
      </c>
      <c r="D3">
        <f>C3/(1+Inputs!$B$1)-(Engagements!F2)</f>
        <v/>
      </c>
      <c r="E3">
        <f>Engagements!G2</f>
        <v/>
      </c>
      <c r="F3">
        <f>D3/E3</f>
        <v/>
      </c>
      <c r="G3">
        <f>D3/(Engagements!H2)</f>
        <v/>
      </c>
      <c r="H3">
        <f>D3</f>
        <v/>
      </c>
      <c r="I3">
        <f>2*D3</f>
        <v/>
      </c>
    </row>
    <row r="4">
      <c r="A4" t="inlineStr">
        <is>
          <t>Conservative</t>
        </is>
      </c>
      <c r="B4" t="inlineStr">
        <is>
          <t>2 people</t>
        </is>
      </c>
      <c r="C4" t="n">
        <v>29000</v>
      </c>
      <c r="D4">
        <f>C4/(1+Inputs!$B$1)-(Engagements!F3)</f>
        <v/>
      </c>
      <c r="E4">
        <f>Engagements!G3</f>
        <v/>
      </c>
      <c r="F4">
        <f>D4/E4</f>
        <v/>
      </c>
      <c r="G4">
        <f>D4/(Engagements!H3)</f>
        <v/>
      </c>
      <c r="H4">
        <f>D4</f>
        <v/>
      </c>
      <c r="I4">
        <f>2*D4</f>
        <v/>
      </c>
    </row>
    <row r="5">
      <c r="A5" t="inlineStr">
        <is>
          <t>Conservative</t>
        </is>
      </c>
      <c r="B5" t="inlineStr">
        <is>
          <t>4 people</t>
        </is>
      </c>
      <c r="C5" t="n">
        <v>48000</v>
      </c>
      <c r="D5">
        <f>C5/(1+Inputs!$B$1)-(Engagements!F4)</f>
        <v/>
      </c>
      <c r="E5">
        <f>Engagements!G4</f>
        <v/>
      </c>
      <c r="F5">
        <f>D5/E5</f>
        <v/>
      </c>
      <c r="G5">
        <f>D5/(Engagements!H4)</f>
        <v/>
      </c>
      <c r="H5">
        <f>D5</f>
        <v/>
      </c>
      <c r="I5">
        <f>2*D5</f>
        <v/>
      </c>
    </row>
    <row r="6">
      <c r="A6" t="inlineStr">
        <is>
          <t>Conservative</t>
        </is>
      </c>
      <c r="B6" t="inlineStr">
        <is>
          <t>Retainer (16 h/yr)</t>
        </is>
      </c>
      <c r="C6" t="n">
        <v>3500</v>
      </c>
      <c r="D6">
        <f>C6/(1+Inputs!$B$1)-(Inputs!B2/(1+Inputs!B1))</f>
        <v/>
      </c>
      <c r="E6" t="inlineStr">
        <is>
          <t>16</t>
        </is>
      </c>
      <c r="F6">
        <f>D6/E6</f>
        <v/>
      </c>
      <c r="G6">
        <f>D6/(E6)</f>
        <v/>
      </c>
      <c r="H6">
        <f>D6</f>
        <v/>
      </c>
      <c r="I6">
        <f>2*D6</f>
        <v/>
      </c>
    </row>
    <row r="7">
      <c r="A7" t="inlineStr">
        <is>
          <t>Mid</t>
        </is>
      </c>
      <c r="B7" t="inlineStr">
        <is>
          <t>Assessment</t>
        </is>
      </c>
      <c r="C7" t="n">
        <v>4500</v>
      </c>
      <c r="D7">
        <f>C7/(1+Inputs!$B$1)-(0)</f>
        <v/>
      </c>
      <c r="E7">
        <f>Inputs!B7+Inputs!B5</f>
        <v/>
      </c>
      <c r="F7">
        <f>D7/E7</f>
        <v/>
      </c>
      <c r="G7">
        <f>D7/(E7)</f>
        <v/>
      </c>
      <c r="H7">
        <f>D7</f>
        <v/>
      </c>
      <c r="I7">
        <f>2*D7</f>
        <v/>
      </c>
    </row>
    <row r="8">
      <c r="A8" t="inlineStr">
        <is>
          <t>Mid</t>
        </is>
      </c>
      <c r="B8" t="inlineStr">
        <is>
          <t>1 person</t>
        </is>
      </c>
      <c r="C8" t="n">
        <v>19000</v>
      </c>
      <c r="D8">
        <f>C8/(1+Inputs!$B$1)-(Engagements!F2)</f>
        <v/>
      </c>
      <c r="E8">
        <f>Engagements!G2</f>
        <v/>
      </c>
      <c r="F8">
        <f>D8/E8</f>
        <v/>
      </c>
      <c r="G8">
        <f>D8/(Engagements!H2)</f>
        <v/>
      </c>
      <c r="H8">
        <f>D8</f>
        <v/>
      </c>
      <c r="I8">
        <f>2*D8</f>
        <v/>
      </c>
    </row>
    <row r="9">
      <c r="A9" t="inlineStr">
        <is>
          <t>Mid</t>
        </is>
      </c>
      <c r="B9" t="inlineStr">
        <is>
          <t>2 people</t>
        </is>
      </c>
      <c r="C9" t="n">
        <v>36000</v>
      </c>
      <c r="D9">
        <f>C9/(1+Inputs!$B$1)-(Engagements!F3)</f>
        <v/>
      </c>
      <c r="E9">
        <f>Engagements!G3</f>
        <v/>
      </c>
      <c r="F9">
        <f>D9/E9</f>
        <v/>
      </c>
      <c r="G9">
        <f>D9/(Engagements!H3)</f>
        <v/>
      </c>
      <c r="H9">
        <f>D9</f>
        <v/>
      </c>
      <c r="I9">
        <f>2*D9</f>
        <v/>
      </c>
    </row>
    <row r="10">
      <c r="A10" t="inlineStr">
        <is>
          <t>Mid</t>
        </is>
      </c>
      <c r="B10" t="inlineStr">
        <is>
          <t>4 people</t>
        </is>
      </c>
      <c r="C10" t="n">
        <v>62000</v>
      </c>
      <c r="D10">
        <f>C10/(1+Inputs!$B$1)-(Engagements!F4)</f>
        <v/>
      </c>
      <c r="E10">
        <f>Engagements!G4</f>
        <v/>
      </c>
      <c r="F10">
        <f>D10/E10</f>
        <v/>
      </c>
      <c r="G10">
        <f>D10/(Engagements!H4)</f>
        <v/>
      </c>
      <c r="H10">
        <f>D10</f>
        <v/>
      </c>
      <c r="I10">
        <f>2*D10</f>
        <v/>
      </c>
    </row>
    <row r="11">
      <c r="A11" t="inlineStr">
        <is>
          <t>Mid</t>
        </is>
      </c>
      <c r="B11" t="inlineStr">
        <is>
          <t>Retainer (16 h/yr)</t>
        </is>
      </c>
      <c r="C11" t="n">
        <v>6500</v>
      </c>
      <c r="D11">
        <f>C11/(1+Inputs!$B$1)-(Inputs!B2/(1+Inputs!B1))</f>
        <v/>
      </c>
      <c r="E11" t="inlineStr">
        <is>
          <t>16</t>
        </is>
      </c>
      <c r="F11">
        <f>D11/E11</f>
        <v/>
      </c>
      <c r="G11">
        <f>D11/(E11)</f>
        <v/>
      </c>
      <c r="H11">
        <f>D11</f>
        <v/>
      </c>
      <c r="I11">
        <f>2*D11</f>
        <v/>
      </c>
    </row>
    <row r="12">
      <c r="A12" t="inlineStr">
        <is>
          <t>Premium</t>
        </is>
      </c>
      <c r="B12" t="inlineStr">
        <is>
          <t>Assessment</t>
        </is>
      </c>
      <c r="C12" t="n">
        <v>5500</v>
      </c>
      <c r="D12">
        <f>C12/(1+Inputs!$B$1)-(0)</f>
        <v/>
      </c>
      <c r="E12">
        <f>Inputs!B7+Inputs!B5</f>
        <v/>
      </c>
      <c r="F12">
        <f>D12/E12</f>
        <v/>
      </c>
      <c r="G12">
        <f>D12/(E12)</f>
        <v/>
      </c>
      <c r="H12">
        <f>D12</f>
        <v/>
      </c>
      <c r="I12">
        <f>2*D12</f>
        <v/>
      </c>
    </row>
    <row r="13">
      <c r="A13" t="inlineStr">
        <is>
          <t>Premium</t>
        </is>
      </c>
      <c r="B13" t="inlineStr">
        <is>
          <t>1 person</t>
        </is>
      </c>
      <c r="C13" t="n">
        <v>24000</v>
      </c>
      <c r="D13">
        <f>C13/(1+Inputs!$B$1)-(Engagements!F2)</f>
        <v/>
      </c>
      <c r="E13">
        <f>Engagements!G2</f>
        <v/>
      </c>
      <c r="F13">
        <f>D13/E13</f>
        <v/>
      </c>
      <c r="G13">
        <f>D13/(Engagements!H2)</f>
        <v/>
      </c>
      <c r="H13">
        <f>D13</f>
        <v/>
      </c>
      <c r="I13">
        <f>2*D13</f>
        <v/>
      </c>
    </row>
    <row r="14">
      <c r="A14" t="inlineStr">
        <is>
          <t>Premium</t>
        </is>
      </c>
      <c r="B14" t="inlineStr">
        <is>
          <t>2 people</t>
        </is>
      </c>
      <c r="C14" t="n">
        <v>46000</v>
      </c>
      <c r="D14">
        <f>C14/(1+Inputs!$B$1)-(Engagements!F3)</f>
        <v/>
      </c>
      <c r="E14">
        <f>Engagements!G3</f>
        <v/>
      </c>
      <c r="F14">
        <f>D14/E14</f>
        <v/>
      </c>
      <c r="G14">
        <f>D14/(Engagements!H3)</f>
        <v/>
      </c>
      <c r="H14">
        <f>D14</f>
        <v/>
      </c>
      <c r="I14">
        <f>2*D14</f>
        <v/>
      </c>
    </row>
    <row r="15">
      <c r="A15" t="inlineStr">
        <is>
          <t>Premium</t>
        </is>
      </c>
      <c r="B15" t="inlineStr">
        <is>
          <t>4 people</t>
        </is>
      </c>
      <c r="C15" t="n">
        <v>80000</v>
      </c>
      <c r="D15">
        <f>C15/(1+Inputs!$B$1)-(Engagements!F4)</f>
        <v/>
      </c>
      <c r="E15">
        <f>Engagements!G4</f>
        <v/>
      </c>
      <c r="F15">
        <f>D15/E15</f>
        <v/>
      </c>
      <c r="G15">
        <f>D15/(Engagements!H4)</f>
        <v/>
      </c>
      <c r="H15">
        <f>D15</f>
        <v/>
      </c>
      <c r="I15">
        <f>2*D15</f>
        <v/>
      </c>
    </row>
    <row r="16">
      <c r="A16" t="inlineStr">
        <is>
          <t>Premium</t>
        </is>
      </c>
      <c r="B16" t="inlineStr">
        <is>
          <t>Retainer (16 h/yr)</t>
        </is>
      </c>
      <c r="C16" t="n">
        <v>9500</v>
      </c>
      <c r="D16">
        <f>C16/(1+Inputs!$B$1)-(Inputs!B2/(1+Inputs!B1))</f>
        <v/>
      </c>
      <c r="E16" t="inlineStr">
        <is>
          <t>16</t>
        </is>
      </c>
      <c r="F16">
        <f>D16/E16</f>
        <v/>
      </c>
      <c r="G16">
        <f>D16/(E16)</f>
        <v/>
      </c>
      <c r="H16">
        <f>D16</f>
        <v/>
      </c>
      <c r="I16">
        <f>2*D16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2026-10-15T15:22:24Z</dcterms:created>
  <dcterms:modified xmlns:dcterms="http://purl.org/dc/terms/" xmlns:xsi="http://www.w3.org/2001/XMLSchema-instance" xsi:type="dcterms:W3CDTF">2026-10-15T15:22:24Z</dcterms:modified>
</cp:coreProperties>
</file>