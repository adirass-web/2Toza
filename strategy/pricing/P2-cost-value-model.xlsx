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Tier-econom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%;-0%;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9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58" customWidth="1" min="1" max="1"/>
    <col width="80" customWidth="1" min="5" max="5"/>
  </cols>
  <sheetData>
    <row r="1">
      <c r="A1" t="inlineStr">
        <is>
          <t>ASSUMPTIONS BLOCK - owner: replace yellow cells. Low = best case (few hours, cheap kit); High = worst case.</t>
        </is>
      </c>
      <c r="B1" t="inlineStr"/>
      <c r="C1" t="inlineStr"/>
      <c r="D1" t="inlineStr"/>
      <c r="E1" t="inlineStr"/>
    </row>
    <row r="2">
      <c r="A2" s="1" t="inlineStr">
        <is>
          <t>Parameter</t>
        </is>
      </c>
      <c r="B2" s="1" t="inlineStr">
        <is>
          <t>Low</t>
        </is>
      </c>
      <c r="C2" s="1" t="inlineStr">
        <is>
          <t>Typical</t>
        </is>
      </c>
      <c r="D2" s="1" t="inlineStr">
        <is>
          <t>High</t>
        </is>
      </c>
      <c r="E2" s="1" t="inlineStr">
        <is>
          <t>Note / source</t>
        </is>
      </c>
    </row>
    <row r="3">
      <c r="A3" t="inlineStr">
        <is>
          <t>VAT rate (ASSUMPTION - confirm)</t>
        </is>
      </c>
      <c r="B3" s="2" t="n">
        <v>0.18</v>
      </c>
      <c r="C3" s="2" t="n">
        <v>0.18</v>
      </c>
      <c r="D3" s="2" t="n">
        <v>0.18</v>
      </c>
      <c r="E3" t="inlineStr">
        <is>
          <t>Israeli VAT 18% assumed; confirm with accountant</t>
        </is>
      </c>
    </row>
    <row r="4">
      <c r="A4" t="inlineStr">
        <is>
          <t>FX ILS per USD (ASSUMPTION)</t>
        </is>
      </c>
      <c r="B4" s="2" t="n">
        <v>3.7</v>
      </c>
      <c r="C4" s="2" t="n">
        <v>3.7</v>
      </c>
      <c r="D4" s="2" t="n">
        <v>3.7</v>
      </c>
      <c r="E4" t="inlineStr">
        <is>
          <t>Placeholder; replace with bank rate</t>
        </is>
      </c>
    </row>
    <row r="5">
      <c r="A5" t="inlineStr">
        <is>
          <t>Security key list price USD</t>
        </is>
      </c>
      <c r="B5" s="2" t="n">
        <v>58</v>
      </c>
      <c r="C5" s="2" t="n">
        <v>64</v>
      </c>
      <c r="D5" s="2" t="n">
        <v>70</v>
      </c>
      <c r="E5" t="inlineStr">
        <is>
          <t>YubiKey 5C NFC: US$58.00 Staples (Oct 2026); US$63.80 incl. GST Yubico AU store; high = allowance</t>
        </is>
      </c>
    </row>
    <row r="6">
      <c r="A6" t="inlineStr">
        <is>
          <t>Key landed-cost factor (shipping, import, handling)</t>
        </is>
      </c>
      <c r="B6" s="2" t="n">
        <v>1</v>
      </c>
      <c r="C6" s="2" t="n">
        <v>1.25</v>
      </c>
      <c r="D6" s="2" t="n">
        <v>1.45</v>
      </c>
      <c r="E6" t="inlineStr">
        <is>
          <t>ASSUMPTION; replace with Israeli supplier quote</t>
        </is>
      </c>
    </row>
    <row r="7">
      <c r="A7" t="inlineStr">
        <is>
          <t>Router cost ILS (Inner Circle)</t>
        </is>
      </c>
      <c r="B7" s="2" t="n">
        <v>400</v>
      </c>
      <c r="C7" s="2" t="n">
        <v>800</v>
      </c>
      <c r="D7" s="2" t="n">
        <v>1500</v>
      </c>
      <c r="E7" t="inlineStr">
        <is>
          <t>ASSUMPTION; owner supplier price</t>
        </is>
      </c>
    </row>
    <row r="8">
      <c r="A8" t="inlineStr">
        <is>
          <t>Price gross incl. VAT - Assessment ILS</t>
        </is>
      </c>
      <c r="B8" s="2" t="n">
        <v>3600</v>
      </c>
      <c r="C8" s="2" t="n">
        <v>3600</v>
      </c>
      <c r="D8" s="2" t="n">
        <v>3600</v>
      </c>
      <c r="E8" t="inlineStr">
        <is>
          <t>facts.json</t>
        </is>
      </c>
    </row>
    <row r="9">
      <c r="A9" t="inlineStr">
        <is>
          <t>Price gross incl. VAT - Personal Shield ILS</t>
        </is>
      </c>
      <c r="B9" s="2" t="n">
        <v>14000</v>
      </c>
      <c r="C9" s="2" t="n">
        <v>14000</v>
      </c>
      <c r="D9" s="2" t="n">
        <v>14000</v>
      </c>
      <c r="E9" t="inlineStr">
        <is>
          <t>facts.json</t>
        </is>
      </c>
    </row>
    <row r="10">
      <c r="A10" t="inlineStr">
        <is>
          <t>Price gross incl. VAT - Inner Circle (from) ILS</t>
        </is>
      </c>
      <c r="B10" s="2" t="n">
        <v>42000</v>
      </c>
      <c r="C10" s="2" t="n">
        <v>42000</v>
      </c>
      <c r="D10" s="2" t="n">
        <v>42000</v>
      </c>
      <c r="E10" t="inlineStr">
        <is>
          <t>facts.json</t>
        </is>
      </c>
    </row>
    <row r="11">
      <c r="A11" t="inlineStr">
        <is>
          <t>Urgent surcharge gross ILS (ordinary)</t>
        </is>
      </c>
      <c r="B11" s="2" t="n">
        <v>4800</v>
      </c>
      <c r="C11" s="2" t="n">
        <v>4800</v>
      </c>
      <c r="D11" s="2" t="n">
        <v>4800</v>
      </c>
      <c r="E11" t="inlineStr">
        <is>
          <t>facts.json; weekend 6,000</t>
        </is>
      </c>
    </row>
    <row r="12">
      <c r="A12" t="inlineStr">
        <is>
          <t>Keys per engagement - Assessment</t>
        </is>
      </c>
      <c r="B12" s="2" t="n">
        <v>0</v>
      </c>
      <c r="C12" s="2" t="n">
        <v>0</v>
      </c>
      <c r="D12" s="2" t="n">
        <v>0</v>
      </c>
      <c r="E12" t="inlineStr">
        <is>
          <t>-</t>
        </is>
      </c>
    </row>
    <row r="13">
      <c r="A13" t="inlineStr">
        <is>
          <t>Keys per engagement - Shield</t>
        </is>
      </c>
      <c r="B13" s="2" t="n">
        <v>2</v>
      </c>
      <c r="C13" s="2" t="n">
        <v>2</v>
      </c>
      <c r="D13" s="2" t="n">
        <v>2</v>
      </c>
      <c r="E13" t="inlineStr">
        <is>
          <t>facts.json</t>
        </is>
      </c>
    </row>
    <row r="14">
      <c r="A14" t="inlineStr">
        <is>
          <t>Keys per engagement - Inner Circle</t>
        </is>
      </c>
      <c r="B14" s="2" t="n">
        <v>8</v>
      </c>
      <c r="C14" s="2" t="n">
        <v>8</v>
      </c>
      <c r="D14" s="2" t="n">
        <v>8</v>
      </c>
      <c r="E14" t="inlineStr">
        <is>
          <t>facts.json</t>
        </is>
      </c>
    </row>
    <row r="15">
      <c r="A15" t="inlineStr">
        <is>
          <t>HOURS (low/typ/high are owner estimates; Shield 'work' 7-14 and Assessment 4h onsite anchored to site copy)</t>
        </is>
      </c>
      <c r="B15" t="inlineStr"/>
      <c r="C15" t="inlineStr"/>
      <c r="D15" t="inlineStr"/>
      <c r="E15" t="inlineStr"/>
    </row>
    <row r="16">
      <c r="A16" t="inlineStr">
        <is>
          <t>A onsite</t>
        </is>
      </c>
      <c r="B16" s="2" t="n">
        <v>3.5</v>
      </c>
      <c r="C16" s="2" t="n">
        <v>4</v>
      </c>
      <c r="D16" s="2" t="n">
        <v>5</v>
      </c>
      <c r="E16" t="inlineStr">
        <is>
          <t>stated typically 4h</t>
        </is>
      </c>
    </row>
    <row r="17">
      <c r="A17" t="inlineStr">
        <is>
          <t>A travel (round trip)</t>
        </is>
      </c>
      <c r="B17" s="2" t="n">
        <v>1</v>
      </c>
      <c r="C17" s="2" t="n">
        <v>2</v>
      </c>
      <c r="D17" s="2" t="n">
        <v>3</v>
      </c>
      <c r="E17" t="inlineStr">
        <is>
          <t>ASSUMPTION Central Israel</t>
        </is>
      </c>
    </row>
    <row r="18">
      <c r="A18" t="inlineStr">
        <is>
          <t>A preparation</t>
        </is>
      </c>
      <c r="B18" s="2" t="n">
        <v>0.5</v>
      </c>
      <c r="C18" s="2" t="n">
        <v>0.75</v>
      </c>
      <c r="D18" s="2" t="n">
        <v>1</v>
      </c>
      <c r="E18" t="inlineStr">
        <is>
          <t>ASSUMPTION</t>
        </is>
      </c>
    </row>
    <row r="19">
      <c r="A19" t="inlineStr">
        <is>
          <t>A write-up / summary</t>
        </is>
      </c>
      <c r="B19" s="2" t="n">
        <v>1</v>
      </c>
      <c r="C19" s="2" t="n">
        <v>1.5</v>
      </c>
      <c r="D19" s="2" t="n">
        <v>2.5</v>
      </c>
      <c r="E19" t="inlineStr">
        <is>
          <t>ASSUMPTION; client gets practical summary</t>
        </is>
      </c>
    </row>
    <row r="20">
      <c r="A20" t="inlineStr">
        <is>
          <t>A support / messages</t>
        </is>
      </c>
      <c r="B20" s="2" t="n">
        <v>0.25</v>
      </c>
      <c r="C20" s="2" t="n">
        <v>0.5</v>
      </c>
      <c r="D20" s="2" t="n">
        <v>1</v>
      </c>
      <c r="E20" t="inlineStr">
        <is>
          <t>ASSUMPTION</t>
        </is>
      </c>
    </row>
    <row r="21">
      <c r="A21" t="inlineStr">
        <is>
          <t>S work (onsite+remote config)</t>
        </is>
      </c>
      <c r="B21" s="2" t="n">
        <v>7</v>
      </c>
      <c r="C21" s="2" t="n">
        <v>10.5</v>
      </c>
      <c r="D21" s="2" t="n">
        <v>14</v>
      </c>
      <c r="E21" t="inlineStr">
        <is>
          <t>stated 7-14 h excl. Assessment</t>
        </is>
      </c>
    </row>
    <row r="22">
      <c r="A22" t="inlineStr">
        <is>
          <t>S travel</t>
        </is>
      </c>
      <c r="B22" s="2" t="n">
        <v>2</v>
      </c>
      <c r="C22" s="2" t="n">
        <v>4</v>
      </c>
      <c r="D22" s="2" t="n">
        <v>6</v>
      </c>
      <c r="E22" t="inlineStr">
        <is>
          <t>ASSUMPTION 1-3 visits</t>
        </is>
      </c>
    </row>
    <row r="23">
      <c r="A23" t="inlineStr">
        <is>
          <t>S preparation (incl. key ordering/provisioning)</t>
        </is>
      </c>
      <c r="B23" s="2" t="n">
        <v>1</v>
      </c>
      <c r="C23" s="2" t="n">
        <v>2</v>
      </c>
      <c r="D23" s="2" t="n">
        <v>3</v>
      </c>
      <c r="E23" t="inlineStr">
        <is>
          <t>ASSUMPTION</t>
        </is>
      </c>
    </row>
    <row r="24">
      <c r="A24" t="inlineStr">
        <is>
          <t>S write-up / handover</t>
        </is>
      </c>
      <c r="B24" s="2" t="n">
        <v>1</v>
      </c>
      <c r="C24" s="2" t="n">
        <v>2</v>
      </c>
      <c r="D24" s="2" t="n">
        <v>3</v>
      </c>
      <c r="E24" t="inlineStr">
        <is>
          <t>ASSUMPTION</t>
        </is>
      </c>
    </row>
    <row r="25">
      <c r="A25" t="inlineStr">
        <is>
          <t>S 14-day adjustment support</t>
        </is>
      </c>
      <c r="B25" s="2" t="n">
        <v>1</v>
      </c>
      <c r="C25" s="2" t="n">
        <v>2</v>
      </c>
      <c r="D25" s="2" t="n">
        <v>4</v>
      </c>
      <c r="E25" t="inlineStr">
        <is>
          <t>ASSUMPTION</t>
        </is>
      </c>
    </row>
    <row r="26">
      <c r="A26" t="inlineStr">
        <is>
          <t>I work (2-4 days x 8h)</t>
        </is>
      </c>
      <c r="B26" s="2" t="n">
        <v>16</v>
      </c>
      <c r="C26" s="2" t="n">
        <v>24</v>
      </c>
      <c r="D26" s="2" t="n">
        <v>32</v>
      </c>
      <c r="E26" t="inlineStr">
        <is>
          <t>stated 2-4 working days</t>
        </is>
      </c>
    </row>
    <row r="27">
      <c r="A27" t="inlineStr">
        <is>
          <t>I travel</t>
        </is>
      </c>
      <c r="B27" s="2" t="n">
        <v>4</v>
      </c>
      <c r="C27" s="2" t="n">
        <v>6</v>
      </c>
      <c r="D27" s="2" t="n">
        <v>10</v>
      </c>
      <c r="E27" t="inlineStr">
        <is>
          <t>ASSUMPTION</t>
        </is>
      </c>
    </row>
    <row r="28">
      <c r="A28" t="inlineStr">
        <is>
          <t>I preparation (8 keys, router)</t>
        </is>
      </c>
      <c r="B28" s="2" t="n">
        <v>3</v>
      </c>
      <c r="C28" s="2" t="n">
        <v>5</v>
      </c>
      <c r="D28" s="2" t="n">
        <v>8</v>
      </c>
      <c r="E28" t="inlineStr">
        <is>
          <t>ASSUMPTION</t>
        </is>
      </c>
    </row>
    <row r="29">
      <c r="A29" t="inlineStr">
        <is>
          <t>I write-up / handover (4 people)</t>
        </is>
      </c>
      <c r="B29" s="2" t="n">
        <v>3</v>
      </c>
      <c r="C29" s="2" t="n">
        <v>5</v>
      </c>
      <c r="D29" s="2" t="n">
        <v>8</v>
      </c>
      <c r="E29" t="inlineStr">
        <is>
          <t>ASSUMPTION</t>
        </is>
      </c>
    </row>
    <row r="30">
      <c r="A30" t="inlineStr">
        <is>
          <t>I adjustment support</t>
        </is>
      </c>
      <c r="B30" s="2" t="n">
        <v>3</v>
      </c>
      <c r="C30" s="2" t="n">
        <v>6</v>
      </c>
      <c r="D30" s="2" t="n">
        <v>10</v>
      </c>
      <c r="E30" t="inlineStr">
        <is>
          <t>ASSUMPTION (support term for IC not stated in facts)</t>
        </is>
      </c>
    </row>
    <row r="31">
      <c r="A31" t="inlineStr">
        <is>
          <t>CAPACITY</t>
        </is>
      </c>
      <c r="B31" t="inlineStr"/>
      <c r="C31" t="inlineStr"/>
      <c r="D31" t="inlineStr"/>
      <c r="E31" t="inlineStr"/>
    </row>
    <row r="32">
      <c r="A32" t="inlineStr">
        <is>
          <t>Delivery hours per month (net of sales/admin/leave)</t>
        </is>
      </c>
      <c r="B32" s="2" t="n">
        <v>90</v>
      </c>
      <c r="C32" s="2" t="n">
        <v>120</v>
      </c>
      <c r="D32" s="2" t="n">
        <v>140</v>
      </c>
      <c r="E32" t="inlineStr">
        <is>
          <t>OWNER INPUT</t>
        </is>
      </c>
    </row>
    <row r="33">
      <c r="A33" t="inlineStr">
        <is>
          <t>Owner target net hourly value ILS (placeholder)</t>
        </is>
      </c>
      <c r="B33" s="2" t="n">
        <v>500</v>
      </c>
      <c r="C33" s="2" t="n">
        <v>700</v>
      </c>
      <c r="D33" s="2" t="n">
        <v>900</v>
      </c>
      <c r="E33" t="inlineStr">
        <is>
          <t>OWNER INPUT - placeholder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0" customWidth="1" min="3" max="3"/>
    <col width="20" customWidth="1" min="4" max="4"/>
    <col width="40" customWidth="1" min="5" max="5"/>
  </cols>
  <sheetData>
    <row r="1">
      <c r="A1" s="1" t="inlineStr">
        <is>
          <t>Scenario (hours AND kit cost move together)</t>
        </is>
      </c>
      <c r="B1" s="1" t="inlineStr">
        <is>
          <t>Low hours / best</t>
        </is>
      </c>
      <c r="C1" s="1" t="inlineStr">
        <is>
          <t>Typical</t>
        </is>
      </c>
      <c r="D1" s="1" t="inlineStr">
        <is>
          <t>High hours / worst</t>
        </is>
      </c>
      <c r="E1" s="1" t="inlineStr">
        <is>
          <t>Note</t>
        </is>
      </c>
    </row>
    <row r="2">
      <c r="A2" s="1" t="inlineStr">
        <is>
          <t>Assessment (standalone)</t>
        </is>
      </c>
    </row>
    <row r="3">
      <c r="A3" t="inlineStr">
        <is>
          <t>A gross price</t>
        </is>
      </c>
      <c r="B3">
        <f>Assumptions!B8</f>
        <v/>
      </c>
      <c r="C3">
        <f>Assumptions!C8</f>
        <v/>
      </c>
      <c r="D3">
        <f>Assumptions!D8</f>
        <v/>
      </c>
      <c r="E3" t="inlineStr"/>
    </row>
    <row r="4">
      <c r="A4" t="inlineStr">
        <is>
          <t>A net revenue</t>
        </is>
      </c>
      <c r="B4">
        <f>B3/(1+Assumptions!B3)</f>
        <v/>
      </c>
      <c r="C4">
        <f>C3/(1+Assumptions!C3)</f>
        <v/>
      </c>
      <c r="D4">
        <f>D3/(1+Assumptions!D3)</f>
        <v/>
      </c>
      <c r="E4" t="inlineStr"/>
    </row>
    <row r="5">
      <c r="A5" t="inlineStr">
        <is>
          <t>A total hours</t>
        </is>
      </c>
      <c r="B5">
        <f>SUM(Assumptions!B16:B20)</f>
        <v/>
      </c>
      <c r="C5">
        <f>SUM(Assumptions!C16:C20)</f>
        <v/>
      </c>
      <c r="D5">
        <f>SUM(Assumptions!D16:D20)</f>
        <v/>
      </c>
      <c r="E5" t="inlineStr"/>
    </row>
    <row r="6">
      <c r="A6" t="inlineStr">
        <is>
          <t>A contribution (no hardware)</t>
        </is>
      </c>
      <c r="B6">
        <f>B4</f>
        <v/>
      </c>
      <c r="C6">
        <f>C4</f>
        <v/>
      </c>
      <c r="D6">
        <f>D4</f>
        <v/>
      </c>
      <c r="E6" t="inlineStr"/>
    </row>
    <row r="7">
      <c r="A7" t="inlineStr">
        <is>
          <t>A net ILS per hour</t>
        </is>
      </c>
      <c r="B7">
        <f>B6/B5</f>
        <v/>
      </c>
      <c r="C7">
        <f>C6/C5</f>
        <v/>
      </c>
      <c r="D7">
        <f>D6/D5</f>
        <v/>
      </c>
      <c r="E7" t="inlineStr"/>
    </row>
    <row r="8">
      <c r="A8" s="1" t="inlineStr">
        <is>
          <t>Personal Shield (no prior Assessment, full 14,000)</t>
        </is>
      </c>
    </row>
    <row r="9">
      <c r="A9" t="inlineStr">
        <is>
          <t>S gross price</t>
        </is>
      </c>
      <c r="B9">
        <f>Assumptions!B9</f>
        <v/>
      </c>
      <c r="C9">
        <f>Assumptions!C9</f>
        <v/>
      </c>
      <c r="D9">
        <f>Assumptions!D9</f>
        <v/>
      </c>
      <c r="E9" t="inlineStr"/>
    </row>
    <row r="10">
      <c r="A10" t="inlineStr">
        <is>
          <t>S net revenue</t>
        </is>
      </c>
      <c r="B10">
        <f>B9/(1+Assumptions!B3)</f>
        <v/>
      </c>
      <c r="C10">
        <f>C9/(1+Assumptions!C3)</f>
        <v/>
      </c>
      <c r="D10">
        <f>D9/(1+Assumptions!D3)</f>
        <v/>
      </c>
      <c r="E10" t="inlineStr"/>
    </row>
    <row r="11">
      <c r="A11" t="inlineStr">
        <is>
          <t>S total hours</t>
        </is>
      </c>
      <c r="B11">
        <f>SUM(Assumptions!B21:B25)</f>
        <v/>
      </c>
      <c r="C11">
        <f>SUM(Assumptions!C21:C25)</f>
        <v/>
      </c>
      <c r="D11">
        <f>SUM(Assumptions!D21:D25)</f>
        <v/>
      </c>
      <c r="E11" t="inlineStr"/>
    </row>
    <row r="12">
      <c r="A12" t="inlineStr">
        <is>
          <t>S hardware (2 keys)</t>
        </is>
      </c>
      <c r="B12">
        <f>Assumptions!B13*(Assumptions!B5*Assumptions!B4*Assumptions!B6)</f>
        <v/>
      </c>
      <c r="C12">
        <f>Assumptions!C13*(Assumptions!C5*Assumptions!C4*Assumptions!C6)</f>
        <v/>
      </c>
      <c r="D12">
        <f>Assumptions!D13*(Assumptions!D5*Assumptions!D4*Assumptions!D6)</f>
        <v/>
      </c>
      <c r="E12" t="inlineStr"/>
    </row>
    <row r="13">
      <c r="A13" t="inlineStr">
        <is>
          <t>S contribution after hardware</t>
        </is>
      </c>
      <c r="B13">
        <f>B10-B12</f>
        <v/>
      </c>
      <c r="C13">
        <f>C10-C12</f>
        <v/>
      </c>
      <c r="D13">
        <f>D10-D12</f>
        <v/>
      </c>
      <c r="E13" t="inlineStr"/>
    </row>
    <row r="14">
      <c r="A14" t="inlineStr">
        <is>
          <t>S net ILS/hour before hardware</t>
        </is>
      </c>
      <c r="B14">
        <f>B10/B11</f>
        <v/>
      </c>
      <c r="C14">
        <f>C10/C11</f>
        <v/>
      </c>
      <c r="D14">
        <f>D10/D11</f>
        <v/>
      </c>
      <c r="E14" t="inlineStr"/>
    </row>
    <row r="15">
      <c r="A15" t="inlineStr">
        <is>
          <t>S net ILS/hour after hardware</t>
        </is>
      </c>
      <c r="B15">
        <f>B13/B11</f>
        <v/>
      </c>
      <c r="C15">
        <f>C13/C11</f>
        <v/>
      </c>
      <c r="D15">
        <f>D13/D11</f>
        <v/>
      </c>
      <c r="E15" t="inlineStr"/>
    </row>
    <row r="16">
      <c r="A16" s="1" t="inlineStr">
        <is>
          <t>Inner Circle (from 42,000)</t>
        </is>
      </c>
    </row>
    <row r="17">
      <c r="A17" t="inlineStr">
        <is>
          <t>I gross price</t>
        </is>
      </c>
      <c r="B17">
        <f>Assumptions!B10</f>
        <v/>
      </c>
      <c r="C17">
        <f>Assumptions!C10</f>
        <v/>
      </c>
      <c r="D17">
        <f>Assumptions!D10</f>
        <v/>
      </c>
      <c r="E17" t="inlineStr"/>
    </row>
    <row r="18">
      <c r="A18" t="inlineStr">
        <is>
          <t>I net revenue</t>
        </is>
      </c>
      <c r="B18">
        <f>B17/(1+Assumptions!B3)</f>
        <v/>
      </c>
      <c r="C18">
        <f>C17/(1+Assumptions!C3)</f>
        <v/>
      </c>
      <c r="D18">
        <f>D17/(1+Assumptions!D3)</f>
        <v/>
      </c>
      <c r="E18" t="inlineStr"/>
    </row>
    <row r="19">
      <c r="A19" t="inlineStr">
        <is>
          <t>I total hours</t>
        </is>
      </c>
      <c r="B19">
        <f>SUM(Assumptions!B26:B30)</f>
        <v/>
      </c>
      <c r="C19">
        <f>SUM(Assumptions!C26:C30)</f>
        <v/>
      </c>
      <c r="D19">
        <f>SUM(Assumptions!D26:D30)</f>
        <v/>
      </c>
      <c r="E19" t="inlineStr"/>
    </row>
    <row r="20">
      <c r="A20" t="inlineStr">
        <is>
          <t>I hardware (8 keys + router)</t>
        </is>
      </c>
      <c r="B20">
        <f>Assumptions!B14*(Assumptions!B5*Assumptions!B4*Assumptions!B6)+Assumptions!B7</f>
        <v/>
      </c>
      <c r="C20">
        <f>Assumptions!C14*(Assumptions!C5*Assumptions!C4*Assumptions!C6)+Assumptions!C7</f>
        <v/>
      </c>
      <c r="D20">
        <f>Assumptions!D14*(Assumptions!D5*Assumptions!D4*Assumptions!D6)+Assumptions!D7</f>
        <v/>
      </c>
      <c r="E20" t="inlineStr"/>
    </row>
    <row r="21">
      <c r="A21" t="inlineStr">
        <is>
          <t>I contribution after hardware</t>
        </is>
      </c>
      <c r="B21">
        <f>B18-B20</f>
        <v/>
      </c>
      <c r="C21">
        <f>C18-C20</f>
        <v/>
      </c>
      <c r="D21">
        <f>D18-D20</f>
        <v/>
      </c>
      <c r="E21" t="inlineStr"/>
    </row>
    <row r="22">
      <c r="A22" t="inlineStr">
        <is>
          <t>I net ILS/hour before hardware</t>
        </is>
      </c>
      <c r="B22">
        <f>B18/B19</f>
        <v/>
      </c>
      <c r="C22">
        <f>C18/C19</f>
        <v/>
      </c>
      <c r="D22">
        <f>D18/D19</f>
        <v/>
      </c>
      <c r="E22" t="inlineStr"/>
    </row>
    <row r="23">
      <c r="A23" t="inlineStr">
        <is>
          <t>I net ILS/hour after hardware</t>
        </is>
      </c>
      <c r="B23">
        <f>B21/B19</f>
        <v/>
      </c>
      <c r="C23">
        <f>C21/C19</f>
        <v/>
      </c>
      <c r="D23">
        <f>D21/D19</f>
        <v/>
      </c>
      <c r="E23" t="inlineStr"/>
    </row>
    <row r="24">
      <c r="A24" s="1" t="inlineStr">
        <is>
          <t>Assessment-credit paths (Assessment then full service within 14 days; total cash = full-service price)</t>
        </is>
      </c>
    </row>
    <row r="25">
      <c r="A25" t="inlineStr">
        <is>
          <t>Shield path: total net revenue (credited)</t>
        </is>
      </c>
      <c r="B25">
        <f>B10</f>
        <v/>
      </c>
      <c r="C25">
        <f>C10</f>
        <v/>
      </c>
      <c r="D25">
        <f>D10</f>
        <v/>
      </c>
      <c r="E25" t="inlineStr"/>
    </row>
    <row r="26">
      <c r="A26" t="inlineStr">
        <is>
          <t>Shield path: total hours (A+S)</t>
        </is>
      </c>
      <c r="B26">
        <f>B5+B11</f>
        <v/>
      </c>
      <c r="C26">
        <f>C5+C11</f>
        <v/>
      </c>
      <c r="D26">
        <f>D5+D11</f>
        <v/>
      </c>
      <c r="E26" t="inlineStr"/>
    </row>
    <row r="27">
      <c r="A27" t="inlineStr">
        <is>
          <t>Shield path: contribution after hardware</t>
        </is>
      </c>
      <c r="B27">
        <f>B25-B12</f>
        <v/>
      </c>
      <c r="C27">
        <f>C25-C12</f>
        <v/>
      </c>
      <c r="D27">
        <f>D25-D12</f>
        <v/>
      </c>
      <c r="E27" t="inlineStr"/>
    </row>
    <row r="28">
      <c r="A28" t="inlineStr">
        <is>
          <t>Shield path: net ILS/hour after hardware</t>
        </is>
      </c>
      <c r="B28">
        <f>B27/B26</f>
        <v/>
      </c>
      <c r="C28">
        <f>C27/C26</f>
        <v/>
      </c>
      <c r="D28">
        <f>D27/D26</f>
        <v/>
      </c>
      <c r="E28" t="inlineStr"/>
    </row>
    <row r="29">
      <c r="A29" t="inlineStr">
        <is>
          <t>Shield path if NOT credited: net ILS/hour after hardware</t>
        </is>
      </c>
      <c r="B29">
        <f>(B10+B4-B12)/B26</f>
        <v/>
      </c>
      <c r="C29">
        <f>(C10+C4-C12)/C26</f>
        <v/>
      </c>
      <c r="D29">
        <f>(D10+D4-D12)/D26</f>
        <v/>
      </c>
      <c r="E29" t="inlineStr"/>
    </row>
    <row r="30">
      <c r="A30" t="inlineStr">
        <is>
          <t>Net revenue given up by credit (ILS)</t>
        </is>
      </c>
      <c r="B30">
        <f>B4</f>
        <v/>
      </c>
      <c r="C30">
        <f>C4</f>
        <v/>
      </c>
      <c r="D30">
        <f>D4</f>
        <v/>
      </c>
      <c r="E30" t="inlineStr"/>
    </row>
    <row r="31">
      <c r="A31" t="inlineStr">
        <is>
          <t>Hourly-rate cost of credit (ILS/h)</t>
        </is>
      </c>
      <c r="B31">
        <f>B29-B28</f>
        <v/>
      </c>
      <c r="C31">
        <f>C29-C28</f>
        <v/>
      </c>
      <c r="D31">
        <f>D29-D28</f>
        <v/>
      </c>
      <c r="E31" t="inlineStr"/>
    </row>
    <row r="32">
      <c r="A32" t="inlineStr">
        <is>
          <t>Inner Circle path: contribution after hardware</t>
        </is>
      </c>
      <c r="B32">
        <f>B18-B20</f>
        <v/>
      </c>
      <c r="C32">
        <f>C18-C20</f>
        <v/>
      </c>
      <c r="D32">
        <f>D18-D20</f>
        <v/>
      </c>
      <c r="E32" t="inlineStr"/>
    </row>
    <row r="33">
      <c r="A33" t="inlineStr">
        <is>
          <t>Inner Circle path: total hours (A+I)</t>
        </is>
      </c>
      <c r="B33">
        <f>B5+B19</f>
        <v/>
      </c>
      <c r="C33">
        <f>C5+C19</f>
        <v/>
      </c>
      <c r="D33">
        <f>D5+D19</f>
        <v/>
      </c>
      <c r="E33" t="inlineStr"/>
    </row>
    <row r="34">
      <c r="A34" t="inlineStr">
        <is>
          <t>Inner Circle path: net ILS/hour after hardware</t>
        </is>
      </c>
      <c r="B34">
        <f>B32/B33</f>
        <v/>
      </c>
      <c r="C34">
        <f>C32/C33</f>
        <v/>
      </c>
      <c r="D34">
        <f>D32/D33</f>
        <v/>
      </c>
      <c r="E34" t="inlineStr"/>
    </row>
    <row r="35">
      <c r="A35" s="1" t="inlineStr">
        <is>
          <t>Urgent surcharge (net)</t>
        </is>
      </c>
    </row>
    <row r="36">
      <c r="A36" t="inlineStr">
        <is>
          <t>Surcharge net revenue</t>
        </is>
      </c>
      <c r="B36">
        <f>Assumptions!B11/(1+Assumptions!B3)</f>
        <v/>
      </c>
      <c r="C36">
        <f>Assumptions!C11/(1+Assumptions!C3)</f>
        <v/>
      </c>
      <c r="D36">
        <f>Assumptions!D11/(1+Assumptions!D3)</f>
        <v/>
      </c>
      <c r="E36" t="inlineStr"/>
    </row>
    <row r="37">
      <c r="A37" s="1" t="inlineStr">
        <is>
          <t>Capacity (typical-hours engagements per month; engagement hours held at typical; columns = capacity 90/120/140 h)</t>
        </is>
      </c>
    </row>
    <row r="38">
      <c r="A38" t="inlineStr">
        <is>
          <t>Delivery hours per month</t>
        </is>
      </c>
      <c r="B38">
        <f>Assumptions!B32</f>
        <v/>
      </c>
      <c r="C38">
        <f>Assumptions!C32</f>
        <v/>
      </c>
      <c r="D38">
        <f>Assumptions!D32</f>
        <v/>
      </c>
      <c r="E38" t="inlineStr"/>
    </row>
    <row r="39">
      <c r="A39" t="inlineStr">
        <is>
          <t>Assessments only / month</t>
        </is>
      </c>
      <c r="B39">
        <f>B38/$C$5</f>
        <v/>
      </c>
      <c r="C39">
        <f>C38/$C$5</f>
        <v/>
      </c>
      <c r="D39">
        <f>D38/$C$5</f>
        <v/>
      </c>
      <c r="E39" t="inlineStr"/>
    </row>
    <row r="40">
      <c r="A40" t="inlineStr">
        <is>
          <t>Shield (standalone) / month</t>
        </is>
      </c>
      <c r="B40">
        <f>B38/$C$11</f>
        <v/>
      </c>
      <c r="C40">
        <f>C38/$C$11</f>
        <v/>
      </c>
      <c r="D40">
        <f>D38/$C$11</f>
        <v/>
      </c>
      <c r="E40" t="inlineStr"/>
    </row>
    <row r="41">
      <c r="A41" t="inlineStr">
        <is>
          <t>Shield path (A+S) / month</t>
        </is>
      </c>
      <c r="B41">
        <f>B38/$C$26</f>
        <v/>
      </c>
      <c r="C41">
        <f>C38/$C$26</f>
        <v/>
      </c>
      <c r="D41">
        <f>D38/$C$26</f>
        <v/>
      </c>
      <c r="E41" t="inlineStr"/>
    </row>
    <row r="42">
      <c r="A42" t="inlineStr">
        <is>
          <t>Inner Circle (standalone) / month</t>
        </is>
      </c>
      <c r="B42">
        <f>B38/$C$19</f>
        <v/>
      </c>
      <c r="C42">
        <f>C38/$C$19</f>
        <v/>
      </c>
      <c r="D42">
        <f>D38/$C$19</f>
        <v/>
      </c>
      <c r="E42" t="inlineStr"/>
    </row>
    <row r="43">
      <c r="A43" t="inlineStr">
        <is>
          <t>Inner Circle path (A+I) / month</t>
        </is>
      </c>
      <c r="B43">
        <f>B38/$C$33</f>
        <v/>
      </c>
      <c r="C43">
        <f>C38/$C$33</f>
        <v/>
      </c>
      <c r="D43">
        <f>D38/$C$33</f>
        <v/>
      </c>
      <c r="E43" t="inlineStr"/>
    </row>
    <row r="44">
      <c r="A44" t="inlineStr">
        <is>
          <t>Net revenue ceiling/month: Assessments only</t>
        </is>
      </c>
      <c r="B44">
        <f>B38/$C$5*$C$4</f>
        <v/>
      </c>
      <c r="C44">
        <f>C38/$C$5*$C$4</f>
        <v/>
      </c>
      <c r="D44">
        <f>D38/$C$5*$C$4</f>
        <v/>
      </c>
      <c r="E44" t="inlineStr"/>
    </row>
    <row r="45">
      <c r="A45" t="inlineStr">
        <is>
          <t>Net revenue ceiling/month: Shield only</t>
        </is>
      </c>
      <c r="B45">
        <f>B38/$C$11*$C$10</f>
        <v/>
      </c>
      <c r="C45">
        <f>C38/$C$11*$C$10</f>
        <v/>
      </c>
      <c r="D45">
        <f>D38/$C$11*$C$10</f>
        <v/>
      </c>
      <c r="E45" t="inlineStr"/>
    </row>
    <row r="46">
      <c r="A46" t="inlineStr">
        <is>
          <t>Net revenue ceiling/month: Shield path (credited)</t>
        </is>
      </c>
      <c r="B46">
        <f>B38/$C$26*$C$25</f>
        <v/>
      </c>
      <c r="C46">
        <f>C38/$C$26*$C$25</f>
        <v/>
      </c>
      <c r="D46">
        <f>D38/$C$26*$C$25</f>
        <v/>
      </c>
      <c r="E46" t="inlineStr"/>
    </row>
    <row r="47">
      <c r="A47" t="inlineStr">
        <is>
          <t>Net revenue ceiling/month: Inner Circle only</t>
        </is>
      </c>
      <c r="B47">
        <f>B38/$C$19*$C$18</f>
        <v/>
      </c>
      <c r="C47">
        <f>C38/$C$19*$C$18</f>
        <v/>
      </c>
      <c r="D47">
        <f>D38/$C$19*$C$18</f>
        <v/>
      </c>
      <c r="E47" t="inlineStr"/>
    </row>
    <row r="48">
      <c r="A48" t="inlineStr">
        <is>
          <t>Net revenue ceiling/month: Inner Circle path (credited)</t>
        </is>
      </c>
      <c r="B48">
        <f>B38/$C$33*$C$18</f>
        <v/>
      </c>
      <c r="C48">
        <f>C38/$C$33*$C$18</f>
        <v/>
      </c>
      <c r="D48">
        <f>D38/$C$33*$C$18</f>
        <v/>
      </c>
      <c r="E48" t="inlineStr"/>
    </row>
    <row r="49">
      <c r="A49" t="inlineStr">
        <is>
          <t>Net revenue ceiling/month: 70% Shield path + 30% A-only (hours-weighted)</t>
        </is>
      </c>
      <c r="B49">
        <f>B38*(0.7*$C$25+0.3*$C$4)/(0.7*$C$26+0.3*$C$5)*1</f>
        <v/>
      </c>
      <c r="C49">
        <f>C38*(0.7*$C$25+0.3*$C$4)/(0.7*$C$26+0.3*$C$5)*1</f>
        <v/>
      </c>
      <c r="D49">
        <f>D38*(0.7*$C$25+0.3*$C$4)/(0.7*$C$26+0.3*$C$5)*1</f>
        <v/>
      </c>
      <c r="E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Net ILS/hour after hardware, typical cost; rows = hours vs typical, columns = price vs list. Offer sections below.</t>
        </is>
      </c>
    </row>
    <row r="3">
      <c r="A3" s="1" t="inlineStr">
        <is>
          <t>Assessment</t>
        </is>
      </c>
    </row>
    <row r="4">
      <c r="A4" t="inlineStr">
        <is>
          <t>Hours \ Price</t>
        </is>
      </c>
      <c r="B4" s="3" t="n">
        <v>-0.2</v>
      </c>
      <c r="C4" s="3" t="n">
        <v>-0.1</v>
      </c>
      <c r="D4" s="3" t="n">
        <v>0</v>
      </c>
      <c r="E4" s="3" t="n">
        <v>0.1</v>
      </c>
      <c r="F4" s="3" t="n">
        <v>0.2</v>
      </c>
    </row>
    <row r="5">
      <c r="A5" s="4" t="n">
        <v>-0.2</v>
      </c>
      <c r="B5" s="5">
        <f>(Model!$C$4*(1+B$4))/(Model!$C$5*(1+$A5))</f>
        <v/>
      </c>
      <c r="C5" s="5">
        <f>(Model!$C$4*(1+C$4))/(Model!$C$5*(1+$A5))</f>
        <v/>
      </c>
      <c r="D5" s="5">
        <f>(Model!$C$4*(1+D$4))/(Model!$C$5*(1+$A5))</f>
        <v/>
      </c>
      <c r="E5" s="5">
        <f>(Model!$C$4*(1+E$4))/(Model!$C$5*(1+$A5))</f>
        <v/>
      </c>
      <c r="F5" s="5">
        <f>(Model!$C$4*(1+F$4))/(Model!$C$5*(1+$A5))</f>
        <v/>
      </c>
    </row>
    <row r="6">
      <c r="A6" s="4" t="n">
        <v>-0.1</v>
      </c>
      <c r="B6" s="5">
        <f>(Model!$C$4*(1+B$4))/(Model!$C$5*(1+$A6))</f>
        <v/>
      </c>
      <c r="C6" s="5">
        <f>(Model!$C$4*(1+C$4))/(Model!$C$5*(1+$A6))</f>
        <v/>
      </c>
      <c r="D6" s="5">
        <f>(Model!$C$4*(1+D$4))/(Model!$C$5*(1+$A6))</f>
        <v/>
      </c>
      <c r="E6" s="5">
        <f>(Model!$C$4*(1+E$4))/(Model!$C$5*(1+$A6))</f>
        <v/>
      </c>
      <c r="F6" s="5">
        <f>(Model!$C$4*(1+F$4))/(Model!$C$5*(1+$A6))</f>
        <v/>
      </c>
    </row>
    <row r="7">
      <c r="A7" s="4" t="n">
        <v>0</v>
      </c>
      <c r="B7" s="5">
        <f>(Model!$C$4*(1+B$4))/(Model!$C$5*(1+$A7))</f>
        <v/>
      </c>
      <c r="C7" s="5">
        <f>(Model!$C$4*(1+C$4))/(Model!$C$5*(1+$A7))</f>
        <v/>
      </c>
      <c r="D7" s="5">
        <f>(Model!$C$4*(1+D$4))/(Model!$C$5*(1+$A7))</f>
        <v/>
      </c>
      <c r="E7" s="5">
        <f>(Model!$C$4*(1+E$4))/(Model!$C$5*(1+$A7))</f>
        <v/>
      </c>
      <c r="F7" s="5">
        <f>(Model!$C$4*(1+F$4))/(Model!$C$5*(1+$A7))</f>
        <v/>
      </c>
    </row>
    <row r="8">
      <c r="A8" s="4" t="n">
        <v>0.1</v>
      </c>
      <c r="B8" s="5">
        <f>(Model!$C$4*(1+B$4))/(Model!$C$5*(1+$A8))</f>
        <v/>
      </c>
      <c r="C8" s="5">
        <f>(Model!$C$4*(1+C$4))/(Model!$C$5*(1+$A8))</f>
        <v/>
      </c>
      <c r="D8" s="5">
        <f>(Model!$C$4*(1+D$4))/(Model!$C$5*(1+$A8))</f>
        <v/>
      </c>
      <c r="E8" s="5">
        <f>(Model!$C$4*(1+E$4))/(Model!$C$5*(1+$A8))</f>
        <v/>
      </c>
      <c r="F8" s="5">
        <f>(Model!$C$4*(1+F$4))/(Model!$C$5*(1+$A8))</f>
        <v/>
      </c>
    </row>
    <row r="9">
      <c r="A9" s="4" t="n">
        <v>0.2</v>
      </c>
      <c r="B9" s="5">
        <f>(Model!$C$4*(1+B$4))/(Model!$C$5*(1+$A9))</f>
        <v/>
      </c>
      <c r="C9" s="5">
        <f>(Model!$C$4*(1+C$4))/(Model!$C$5*(1+$A9))</f>
        <v/>
      </c>
      <c r="D9" s="5">
        <f>(Model!$C$4*(1+D$4))/(Model!$C$5*(1+$A9))</f>
        <v/>
      </c>
      <c r="E9" s="5">
        <f>(Model!$C$4*(1+E$4))/(Model!$C$5*(1+$A9))</f>
        <v/>
      </c>
      <c r="F9" s="5">
        <f>(Model!$C$4*(1+F$4))/(Model!$C$5*(1+$A9))</f>
        <v/>
      </c>
    </row>
    <row r="11">
      <c r="A11" s="1" t="inlineStr">
        <is>
          <t>Personal Shield (standalone)</t>
        </is>
      </c>
    </row>
    <row r="12">
      <c r="A12" t="inlineStr">
        <is>
          <t>Hours \ Price</t>
        </is>
      </c>
      <c r="B12" s="3" t="n">
        <v>-0.2</v>
      </c>
      <c r="C12" s="3" t="n">
        <v>-0.1</v>
      </c>
      <c r="D12" s="3" t="n">
        <v>0</v>
      </c>
      <c r="E12" s="3" t="n">
        <v>0.1</v>
      </c>
      <c r="F12" s="3" t="n">
        <v>0.2</v>
      </c>
    </row>
    <row r="13">
      <c r="A13" s="4" t="n">
        <v>-0.2</v>
      </c>
      <c r="B13" s="5">
        <f>(Model!$C$10*(1+B$12)-Model!C12)/(Model!$C$11*(1+$A13))</f>
        <v/>
      </c>
      <c r="C13" s="5">
        <f>(Model!$C$10*(1+C$12)-Model!C12)/(Model!$C$11*(1+$A13))</f>
        <v/>
      </c>
      <c r="D13" s="5">
        <f>(Model!$C$10*(1+D$12)-Model!C12)/(Model!$C$11*(1+$A13))</f>
        <v/>
      </c>
      <c r="E13" s="5">
        <f>(Model!$C$10*(1+E$12)-Model!C12)/(Model!$C$11*(1+$A13))</f>
        <v/>
      </c>
      <c r="F13" s="5">
        <f>(Model!$C$10*(1+F$12)-Model!C12)/(Model!$C$11*(1+$A13))</f>
        <v/>
      </c>
    </row>
    <row r="14">
      <c r="A14" s="4" t="n">
        <v>-0.1</v>
      </c>
      <c r="B14" s="5">
        <f>(Model!$C$10*(1+B$12)-Model!C12)/(Model!$C$11*(1+$A14))</f>
        <v/>
      </c>
      <c r="C14" s="5">
        <f>(Model!$C$10*(1+C$12)-Model!C12)/(Model!$C$11*(1+$A14))</f>
        <v/>
      </c>
      <c r="D14" s="5">
        <f>(Model!$C$10*(1+D$12)-Model!C12)/(Model!$C$11*(1+$A14))</f>
        <v/>
      </c>
      <c r="E14" s="5">
        <f>(Model!$C$10*(1+E$12)-Model!C12)/(Model!$C$11*(1+$A14))</f>
        <v/>
      </c>
      <c r="F14" s="5">
        <f>(Model!$C$10*(1+F$12)-Model!C12)/(Model!$C$11*(1+$A14))</f>
        <v/>
      </c>
    </row>
    <row r="15">
      <c r="A15" s="4" t="n">
        <v>0</v>
      </c>
      <c r="B15" s="5">
        <f>(Model!$C$10*(1+B$12)-Model!C12)/(Model!$C$11*(1+$A15))</f>
        <v/>
      </c>
      <c r="C15" s="5">
        <f>(Model!$C$10*(1+C$12)-Model!C12)/(Model!$C$11*(1+$A15))</f>
        <v/>
      </c>
      <c r="D15" s="5">
        <f>(Model!$C$10*(1+D$12)-Model!C12)/(Model!$C$11*(1+$A15))</f>
        <v/>
      </c>
      <c r="E15" s="5">
        <f>(Model!$C$10*(1+E$12)-Model!C12)/(Model!$C$11*(1+$A15))</f>
        <v/>
      </c>
      <c r="F15" s="5">
        <f>(Model!$C$10*(1+F$12)-Model!C12)/(Model!$C$11*(1+$A15))</f>
        <v/>
      </c>
    </row>
    <row r="16">
      <c r="A16" s="4" t="n">
        <v>0.1</v>
      </c>
      <c r="B16" s="5">
        <f>(Model!$C$10*(1+B$12)-Model!C12)/(Model!$C$11*(1+$A16))</f>
        <v/>
      </c>
      <c r="C16" s="5">
        <f>(Model!$C$10*(1+C$12)-Model!C12)/(Model!$C$11*(1+$A16))</f>
        <v/>
      </c>
      <c r="D16" s="5">
        <f>(Model!$C$10*(1+D$12)-Model!C12)/(Model!$C$11*(1+$A16))</f>
        <v/>
      </c>
      <c r="E16" s="5">
        <f>(Model!$C$10*(1+E$12)-Model!C12)/(Model!$C$11*(1+$A16))</f>
        <v/>
      </c>
      <c r="F16" s="5">
        <f>(Model!$C$10*(1+F$12)-Model!C12)/(Model!$C$11*(1+$A16))</f>
        <v/>
      </c>
    </row>
    <row r="17">
      <c r="A17" s="4" t="n">
        <v>0.2</v>
      </c>
      <c r="B17" s="5">
        <f>(Model!$C$10*(1+B$12)-Model!C12)/(Model!$C$11*(1+$A17))</f>
        <v/>
      </c>
      <c r="C17" s="5">
        <f>(Model!$C$10*(1+C$12)-Model!C12)/(Model!$C$11*(1+$A17))</f>
        <v/>
      </c>
      <c r="D17" s="5">
        <f>(Model!$C$10*(1+D$12)-Model!C12)/(Model!$C$11*(1+$A17))</f>
        <v/>
      </c>
      <c r="E17" s="5">
        <f>(Model!$C$10*(1+E$12)-Model!C12)/(Model!$C$11*(1+$A17))</f>
        <v/>
      </c>
      <c r="F17" s="5">
        <f>(Model!$C$10*(1+F$12)-Model!C12)/(Model!$C$11*(1+$A17))</f>
        <v/>
      </c>
    </row>
    <row r="19">
      <c r="A19" s="1" t="inlineStr">
        <is>
          <t>Shield path (A+S, credited)</t>
        </is>
      </c>
    </row>
    <row r="20">
      <c r="A20" t="inlineStr">
        <is>
          <t>Hours \ Price</t>
        </is>
      </c>
      <c r="B20" s="3" t="n">
        <v>-0.2</v>
      </c>
      <c r="C20" s="3" t="n">
        <v>-0.1</v>
      </c>
      <c r="D20" s="3" t="n">
        <v>0</v>
      </c>
      <c r="E20" s="3" t="n">
        <v>0.1</v>
      </c>
      <c r="F20" s="3" t="n">
        <v>0.2</v>
      </c>
    </row>
    <row r="21">
      <c r="A21" s="4" t="n">
        <v>-0.2</v>
      </c>
      <c r="B21" s="5">
        <f>(Model!$C$25*(1+B$20)-Model!C12)/(Model!$C$26*(1+$A21))</f>
        <v/>
      </c>
      <c r="C21" s="5">
        <f>(Model!$C$25*(1+C$20)-Model!C12)/(Model!$C$26*(1+$A21))</f>
        <v/>
      </c>
      <c r="D21" s="5">
        <f>(Model!$C$25*(1+D$20)-Model!C12)/(Model!$C$26*(1+$A21))</f>
        <v/>
      </c>
      <c r="E21" s="5">
        <f>(Model!$C$25*(1+E$20)-Model!C12)/(Model!$C$26*(1+$A21))</f>
        <v/>
      </c>
      <c r="F21" s="5">
        <f>(Model!$C$25*(1+F$20)-Model!C12)/(Model!$C$26*(1+$A21))</f>
        <v/>
      </c>
    </row>
    <row r="22">
      <c r="A22" s="4" t="n">
        <v>-0.1</v>
      </c>
      <c r="B22" s="5">
        <f>(Model!$C$25*(1+B$20)-Model!C12)/(Model!$C$26*(1+$A22))</f>
        <v/>
      </c>
      <c r="C22" s="5">
        <f>(Model!$C$25*(1+C$20)-Model!C12)/(Model!$C$26*(1+$A22))</f>
        <v/>
      </c>
      <c r="D22" s="5">
        <f>(Model!$C$25*(1+D$20)-Model!C12)/(Model!$C$26*(1+$A22))</f>
        <v/>
      </c>
      <c r="E22" s="5">
        <f>(Model!$C$25*(1+E$20)-Model!C12)/(Model!$C$26*(1+$A22))</f>
        <v/>
      </c>
      <c r="F22" s="5">
        <f>(Model!$C$25*(1+F$20)-Model!C12)/(Model!$C$26*(1+$A22))</f>
        <v/>
      </c>
    </row>
    <row r="23">
      <c r="A23" s="4" t="n">
        <v>0</v>
      </c>
      <c r="B23" s="5">
        <f>(Model!$C$25*(1+B$20)-Model!C12)/(Model!$C$26*(1+$A23))</f>
        <v/>
      </c>
      <c r="C23" s="5">
        <f>(Model!$C$25*(1+C$20)-Model!C12)/(Model!$C$26*(1+$A23))</f>
        <v/>
      </c>
      <c r="D23" s="5">
        <f>(Model!$C$25*(1+D$20)-Model!C12)/(Model!$C$26*(1+$A23))</f>
        <v/>
      </c>
      <c r="E23" s="5">
        <f>(Model!$C$25*(1+E$20)-Model!C12)/(Model!$C$26*(1+$A23))</f>
        <v/>
      </c>
      <c r="F23" s="5">
        <f>(Model!$C$25*(1+F$20)-Model!C12)/(Model!$C$26*(1+$A23))</f>
        <v/>
      </c>
    </row>
    <row r="24">
      <c r="A24" s="4" t="n">
        <v>0.1</v>
      </c>
      <c r="B24" s="5">
        <f>(Model!$C$25*(1+B$20)-Model!C12)/(Model!$C$26*(1+$A24))</f>
        <v/>
      </c>
      <c r="C24" s="5">
        <f>(Model!$C$25*(1+C$20)-Model!C12)/(Model!$C$26*(1+$A24))</f>
        <v/>
      </c>
      <c r="D24" s="5">
        <f>(Model!$C$25*(1+D$20)-Model!C12)/(Model!$C$26*(1+$A24))</f>
        <v/>
      </c>
      <c r="E24" s="5">
        <f>(Model!$C$25*(1+E$20)-Model!C12)/(Model!$C$26*(1+$A24))</f>
        <v/>
      </c>
      <c r="F24" s="5">
        <f>(Model!$C$25*(1+F$20)-Model!C12)/(Model!$C$26*(1+$A24))</f>
        <v/>
      </c>
    </row>
    <row r="25">
      <c r="A25" s="4" t="n">
        <v>0.2</v>
      </c>
      <c r="B25" s="5">
        <f>(Model!$C$25*(1+B$20)-Model!C12)/(Model!$C$26*(1+$A25))</f>
        <v/>
      </c>
      <c r="C25" s="5">
        <f>(Model!$C$25*(1+C$20)-Model!C12)/(Model!$C$26*(1+$A25))</f>
        <v/>
      </c>
      <c r="D25" s="5">
        <f>(Model!$C$25*(1+D$20)-Model!C12)/(Model!$C$26*(1+$A25))</f>
        <v/>
      </c>
      <c r="E25" s="5">
        <f>(Model!$C$25*(1+E$20)-Model!C12)/(Model!$C$26*(1+$A25))</f>
        <v/>
      </c>
      <c r="F25" s="5">
        <f>(Model!$C$25*(1+F$20)-Model!C12)/(Model!$C$26*(1+$A25))</f>
        <v/>
      </c>
    </row>
    <row r="27">
      <c r="A27" s="1" t="inlineStr">
        <is>
          <t>Inner Circle (standalone)</t>
        </is>
      </c>
    </row>
    <row r="28">
      <c r="A28" t="inlineStr">
        <is>
          <t>Hours \ Price</t>
        </is>
      </c>
      <c r="B28" s="3" t="n">
        <v>-0.2</v>
      </c>
      <c r="C28" s="3" t="n">
        <v>-0.1</v>
      </c>
      <c r="D28" s="3" t="n">
        <v>0</v>
      </c>
      <c r="E28" s="3" t="n">
        <v>0.1</v>
      </c>
      <c r="F28" s="3" t="n">
        <v>0.2</v>
      </c>
    </row>
    <row r="29">
      <c r="A29" s="4" t="n">
        <v>-0.2</v>
      </c>
      <c r="B29" s="5">
        <f>(Model!$C$18*(1+B$28)-Model!C20)/(Model!$C$19*(1+$A29))</f>
        <v/>
      </c>
      <c r="C29" s="5">
        <f>(Model!$C$18*(1+C$28)-Model!C20)/(Model!$C$19*(1+$A29))</f>
        <v/>
      </c>
      <c r="D29" s="5">
        <f>(Model!$C$18*(1+D$28)-Model!C20)/(Model!$C$19*(1+$A29))</f>
        <v/>
      </c>
      <c r="E29" s="5">
        <f>(Model!$C$18*(1+E$28)-Model!C20)/(Model!$C$19*(1+$A29))</f>
        <v/>
      </c>
      <c r="F29" s="5">
        <f>(Model!$C$18*(1+F$28)-Model!C20)/(Model!$C$19*(1+$A29))</f>
        <v/>
      </c>
    </row>
    <row r="30">
      <c r="A30" s="4" t="n">
        <v>-0.1</v>
      </c>
      <c r="B30" s="5">
        <f>(Model!$C$18*(1+B$28)-Model!C20)/(Model!$C$19*(1+$A30))</f>
        <v/>
      </c>
      <c r="C30" s="5">
        <f>(Model!$C$18*(1+C$28)-Model!C20)/(Model!$C$19*(1+$A30))</f>
        <v/>
      </c>
      <c r="D30" s="5">
        <f>(Model!$C$18*(1+D$28)-Model!C20)/(Model!$C$19*(1+$A30))</f>
        <v/>
      </c>
      <c r="E30" s="5">
        <f>(Model!$C$18*(1+E$28)-Model!C20)/(Model!$C$19*(1+$A30))</f>
        <v/>
      </c>
      <c r="F30" s="5">
        <f>(Model!$C$18*(1+F$28)-Model!C20)/(Model!$C$19*(1+$A30))</f>
        <v/>
      </c>
    </row>
    <row r="31">
      <c r="A31" s="4" t="n">
        <v>0</v>
      </c>
      <c r="B31" s="5">
        <f>(Model!$C$18*(1+B$28)-Model!C20)/(Model!$C$19*(1+$A31))</f>
        <v/>
      </c>
      <c r="C31" s="5">
        <f>(Model!$C$18*(1+C$28)-Model!C20)/(Model!$C$19*(1+$A31))</f>
        <v/>
      </c>
      <c r="D31" s="5">
        <f>(Model!$C$18*(1+D$28)-Model!C20)/(Model!$C$19*(1+$A31))</f>
        <v/>
      </c>
      <c r="E31" s="5">
        <f>(Model!$C$18*(1+E$28)-Model!C20)/(Model!$C$19*(1+$A31))</f>
        <v/>
      </c>
      <c r="F31" s="5">
        <f>(Model!$C$18*(1+F$28)-Model!C20)/(Model!$C$19*(1+$A31))</f>
        <v/>
      </c>
    </row>
    <row r="32">
      <c r="A32" s="4" t="n">
        <v>0.1</v>
      </c>
      <c r="B32" s="5">
        <f>(Model!$C$18*(1+B$28)-Model!C20)/(Model!$C$19*(1+$A32))</f>
        <v/>
      </c>
      <c r="C32" s="5">
        <f>(Model!$C$18*(1+C$28)-Model!C20)/(Model!$C$19*(1+$A32))</f>
        <v/>
      </c>
      <c r="D32" s="5">
        <f>(Model!$C$18*(1+D$28)-Model!C20)/(Model!$C$19*(1+$A32))</f>
        <v/>
      </c>
      <c r="E32" s="5">
        <f>(Model!$C$18*(1+E$28)-Model!C20)/(Model!$C$19*(1+$A32))</f>
        <v/>
      </c>
      <c r="F32" s="5">
        <f>(Model!$C$18*(1+F$28)-Model!C20)/(Model!$C$19*(1+$A32))</f>
        <v/>
      </c>
    </row>
    <row r="33">
      <c r="A33" s="4" t="n">
        <v>0.2</v>
      </c>
      <c r="B33" s="5">
        <f>(Model!$C$18*(1+B$28)-Model!C20)/(Model!$C$19*(1+$A33))</f>
        <v/>
      </c>
      <c r="C33" s="5">
        <f>(Model!$C$18*(1+C$28)-Model!C20)/(Model!$C$19*(1+$A33))</f>
        <v/>
      </c>
      <c r="D33" s="5">
        <f>(Model!$C$18*(1+D$28)-Model!C20)/(Model!$C$19*(1+$A33))</f>
        <v/>
      </c>
      <c r="E33" s="5">
        <f>(Model!$C$18*(1+E$28)-Model!C20)/(Model!$C$19*(1+$A33))</f>
        <v/>
      </c>
      <c r="F33" s="5">
        <f>(Model!$C$18*(1+F$28)-Model!C20)/(Model!$C$19*(1+$A33))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45" customWidth="1" min="3" max="3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Shield gross per person</t>
        </is>
      </c>
      <c r="B2">
        <f>Assumptions!C9/1</f>
        <v/>
      </c>
      <c r="C2" t="inlineStr"/>
    </row>
    <row r="3">
      <c r="A3" t="inlineStr">
        <is>
          <t>Inner Circle gross per person (from)</t>
        </is>
      </c>
      <c r="B3">
        <f>Assumptions!C10/4</f>
        <v/>
      </c>
      <c r="C3" t="inlineStr"/>
    </row>
    <row r="4">
      <c r="A4" t="inlineStr">
        <is>
          <t>IC per-person vs Shield (ratio)</t>
        </is>
      </c>
      <c r="B4">
        <f>B3/B2</f>
        <v/>
      </c>
      <c r="C4" t="inlineStr">
        <is>
          <t>&lt;1 = group discount</t>
        </is>
      </c>
    </row>
    <row r="5">
      <c r="A5" t="inlineStr">
        <is>
          <t>IC / Shield total price ratio</t>
        </is>
      </c>
      <c r="B5">
        <f>Assumptions!C10/Assumptions!C9</f>
        <v/>
      </c>
      <c r="C5" t="inlineStr">
        <is>
          <t>for 4x people, 4x devices, 4x keys</t>
        </is>
      </c>
    </row>
    <row r="6">
      <c r="A6" t="inlineStr">
        <is>
          <t>Shield gross per device</t>
        </is>
      </c>
      <c r="B6">
        <f>Assumptions!C9/2</f>
        <v/>
      </c>
      <c r="C6" t="inlineStr"/>
    </row>
    <row r="7">
      <c r="A7" t="inlineStr">
        <is>
          <t>IC gross per device</t>
        </is>
      </c>
      <c r="B7">
        <f>Assumptions!C10/8</f>
        <v/>
      </c>
      <c r="C7" t="inlineStr"/>
    </row>
    <row r="8">
      <c r="A8" t="inlineStr">
        <is>
          <t>Shield gross per key slot</t>
        </is>
      </c>
      <c r="B8">
        <f>Assumptions!C9/2</f>
        <v/>
      </c>
      <c r="C8" t="inlineStr">
        <is>
          <t>bundled with labour</t>
        </is>
      </c>
    </row>
    <row r="9">
      <c r="A9" t="inlineStr">
        <is>
          <t>Assessment as % of Shield</t>
        </is>
      </c>
      <c r="B9">
        <f>Assumptions!C8/Assumptions!C9</f>
        <v/>
      </c>
      <c r="C9" t="inlineStr"/>
    </row>
    <row r="10">
      <c r="A10" t="inlineStr">
        <is>
          <t>Assessment as % of IC</t>
        </is>
      </c>
      <c r="B10">
        <f>Assumptions!C8/Assumptions!C10</f>
        <v/>
      </c>
      <c r="C10" t="inlineStr"/>
    </row>
    <row r="11">
      <c r="A11" t="inlineStr">
        <is>
          <t>Shield remaining after credit</t>
        </is>
      </c>
      <c r="B11">
        <f>Assumptions!C9-Assumptions!C8</f>
        <v/>
      </c>
      <c r="C11" t="inlineStr"/>
    </row>
    <row r="12">
      <c r="A12" t="inlineStr">
        <is>
          <t>IC remaining after credit (from)</t>
        </is>
      </c>
      <c r="B12">
        <f>Assumptions!C10-Assumptions!C8</f>
        <v/>
      </c>
      <c r="C12" t="inlineStr"/>
    </row>
    <row r="13">
      <c r="A13" t="inlineStr">
        <is>
          <t>IC remaining per person after credit</t>
        </is>
      </c>
      <c r="B13">
        <f>B12/4</f>
        <v/>
      </c>
      <c r="C13" t="inlineStr"/>
    </row>
    <row r="14">
      <c r="A14" t="inlineStr">
        <is>
          <t>Urgent surcharge as % of Assessment (ordinary)</t>
        </is>
      </c>
      <c r="B14">
        <f>Assumptions!C11/Assumptions!C8</f>
        <v/>
      </c>
      <c r="C14" t="inlineStr"/>
    </row>
    <row r="15">
      <c r="A15" t="inlineStr">
        <is>
          <t>Typical hours ratio IC/Shield</t>
        </is>
      </c>
      <c r="B15">
        <f>Model!C19/Model!C11</f>
        <v/>
      </c>
      <c r="C15" t="inlineStr"/>
    </row>
    <row r="16">
      <c r="A16" t="inlineStr">
        <is>
          <t>Typical net/hr ratio IC/Shield (after hardware)</t>
        </is>
      </c>
      <c r="B16">
        <f>Model!C23/Model!C15</f>
        <v/>
      </c>
      <c r="C16" t="inlineStr"/>
    </row>
    <row r="17">
      <c r="A17" t="inlineStr">
        <is>
          <t>BESPOKE floor: days</t>
        </is>
      </c>
      <c r="B17" t="inlineStr"/>
      <c r="C17" t="inlineStr">
        <is>
          <t>Inputs below (owner can edit yellow)</t>
        </is>
      </c>
    </row>
    <row r="18">
      <c r="A18" t="inlineStr">
        <is>
          <t>Bespoke design: delivery days (8h work)</t>
        </is>
      </c>
      <c r="B18" t="n">
        <v>6</v>
      </c>
      <c r="C18" t="inlineStr">
        <is>
          <t>option; IC top is 4 days</t>
        </is>
      </c>
    </row>
    <row r="19">
      <c r="A19" t="inlineStr">
        <is>
          <t>Bespoke work hours</t>
        </is>
      </c>
      <c r="B19">
        <f>B18*8</f>
        <v/>
      </c>
      <c r="C19" t="inlineStr"/>
    </row>
    <row r="20">
      <c r="A20" t="inlineStr">
        <is>
          <t>Bespoke travel+prep+write-up+support hours (ratio of work hrs, from IC typical)</t>
        </is>
      </c>
      <c r="B20">
        <f>(Model!C19-Assumptions!C26)/Assumptions!C26</f>
        <v/>
      </c>
      <c r="C20" t="inlineStr">
        <is>
          <t>overhead ratio</t>
        </is>
      </c>
    </row>
    <row r="21">
      <c r="A21" t="inlineStr">
        <is>
          <t>Bespoke total hours</t>
        </is>
      </c>
      <c r="B21">
        <f>B19*(1+B20)</f>
        <v/>
      </c>
      <c r="C21" t="inlineStr"/>
    </row>
    <row r="22">
      <c r="A22" t="inlineStr">
        <is>
          <t>Bespoke hardware allowance ILS</t>
        </is>
      </c>
      <c r="B22" t="n">
        <v>3000</v>
      </c>
      <c r="C22" t="inlineStr">
        <is>
          <t>placeholder</t>
        </is>
      </c>
    </row>
    <row r="23">
      <c r="A23" t="inlineStr">
        <is>
          <t>Floor net price at Shield-typical net/hr rate</t>
        </is>
      </c>
      <c r="B23">
        <f>B21*Model!C15+B22</f>
        <v/>
      </c>
      <c r="C23" t="inlineStr">
        <is>
          <t>net of VAT</t>
        </is>
      </c>
    </row>
    <row r="24">
      <c r="A24" t="inlineStr">
        <is>
          <t xml:space="preserve">  gross incl. VAT</t>
        </is>
      </c>
      <c r="B24">
        <f>B23*(1+Assumptions!C3)</f>
        <v/>
      </c>
      <c r="C24" t="inlineStr"/>
    </row>
    <row r="25">
      <c r="A25" t="inlineStr">
        <is>
          <t>Floor net price at IC-typical net/hr rate</t>
        </is>
      </c>
      <c r="B25">
        <f>B21*Model!C23+B22</f>
        <v/>
      </c>
      <c r="C25" t="inlineStr"/>
    </row>
    <row r="26">
      <c r="A26" t="inlineStr">
        <is>
          <t xml:space="preserve">  gross incl. VAT</t>
        </is>
      </c>
      <c r="B26">
        <f>B25*(1+Assumptions!C3)</f>
        <v/>
      </c>
      <c r="C26" t="inlineStr"/>
    </row>
    <row r="27">
      <c r="A27" t="inlineStr">
        <is>
          <t>Floor net price at owner target hourly (typical)</t>
        </is>
      </c>
      <c r="B27">
        <f>B21*Assumptions!C33+B22</f>
        <v/>
      </c>
      <c r="C27" t="inlineStr"/>
    </row>
    <row r="28">
      <c r="A28" t="inlineStr">
        <is>
          <t xml:space="preserve">  gross incl. VAT</t>
        </is>
      </c>
      <c r="B28">
        <f>B27*(1+Assumptions!C3)</f>
        <v/>
      </c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2026-10-15T13:13:41Z</dcterms:created>
  <dcterms:modified xmlns:dcterms="http://purl.org/dc/terms/" xmlns:xsi="http://www.w3.org/2001/XMLSchema-instance" xsi:type="dcterms:W3CDTF">2026-10-15T13:13:41Z</dcterms:modified>
</cp:coreProperties>
</file>